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MBSearch\"/>
    </mc:Choice>
  </mc:AlternateContent>
  <xr:revisionPtr revIDLastSave="0" documentId="13_ncr:1_{66F3BDA6-2D2C-43A1-A203-D2C7B1E587C9}" xr6:coauthVersionLast="47" xr6:coauthVersionMax="47" xr10:uidLastSave="{00000000-0000-0000-0000-000000000000}"/>
  <bookViews>
    <workbookView xWindow="7200" yWindow="1545" windowWidth="24120" windowHeight="18765" xr2:uid="{30C995A4-5C89-428B-A375-B6908AF4F729}"/>
  </bookViews>
  <sheets>
    <sheet name="임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D7" i="1"/>
  <c r="C7" i="1"/>
  <c r="C17" i="1" s="1"/>
</calcChain>
</file>

<file path=xl/sharedStrings.xml><?xml version="1.0" encoding="utf-8"?>
<sst xmlns="http://schemas.openxmlformats.org/spreadsheetml/2006/main" count="37" uniqueCount="36">
  <si>
    <t>이전비 내역서</t>
    <phoneticPr fontId="3" type="noConversion"/>
  </si>
  <si>
    <t>차        명</t>
    <phoneticPr fontId="3" type="noConversion"/>
  </si>
  <si>
    <t>그랜저IG</t>
    <phoneticPr fontId="3" type="noConversion"/>
  </si>
  <si>
    <t>년    식</t>
    <phoneticPr fontId="3" type="noConversion"/>
  </si>
  <si>
    <t>차 량 번 호</t>
    <phoneticPr fontId="3" type="noConversion"/>
  </si>
  <si>
    <t>27누5095</t>
    <phoneticPr fontId="3" type="noConversion"/>
  </si>
  <si>
    <t>과세표준액</t>
    <phoneticPr fontId="3" type="noConversion"/>
  </si>
  <si>
    <t>취   득   세</t>
    <phoneticPr fontId="3" type="noConversion"/>
  </si>
  <si>
    <t>※ 전기차 취득세 140만원 감면</t>
    <phoneticPr fontId="3" type="noConversion"/>
  </si>
  <si>
    <t>공         채</t>
    <phoneticPr fontId="3" type="noConversion"/>
  </si>
  <si>
    <t>※ 차액 반환해드립니다</t>
    <phoneticPr fontId="3" type="noConversion"/>
  </si>
  <si>
    <t>등록대행수수료</t>
    <phoneticPr fontId="3" type="noConversion"/>
  </si>
  <si>
    <t>근거 1) 자동차관리법시행규칙 제122조 대행수수료.                                                      2) 등록신청대행에 소요되는 실제비용</t>
    <phoneticPr fontId="3" type="noConversion"/>
  </si>
  <si>
    <t>계약서비</t>
    <phoneticPr fontId="3" type="noConversion"/>
  </si>
  <si>
    <t>매도비</t>
    <phoneticPr fontId="3" type="noConversion"/>
  </si>
  <si>
    <r>
      <t>근거 1) 자동차관리법시행규칙 제 122조 관리비용             2) 매매용자동차의 보관</t>
    </r>
    <r>
      <rPr>
        <sz val="11"/>
        <color theme="1"/>
        <rFont val="맑은 고딕"/>
        <family val="3"/>
        <charset val="129"/>
      </rPr>
      <t>·관리에 소요되는 실제비용.               다만, 그 금액은 당해지역의 공영주차장의 주차요금을 초과할 수 없다.</t>
    </r>
    <phoneticPr fontId="3" type="noConversion"/>
  </si>
  <si>
    <t>인증지대</t>
    <phoneticPr fontId="3" type="noConversion"/>
  </si>
  <si>
    <t>탁송료</t>
    <phoneticPr fontId="3" type="noConversion"/>
  </si>
  <si>
    <t>매매알선수수료</t>
    <phoneticPr fontId="3" type="noConversion"/>
  </si>
  <si>
    <t>근거 1) 자동차관리법시행규칙 제 122조 매매 알선수수료                                                              2) 매매알선에 소요되는 실제비용</t>
    <phoneticPr fontId="3" type="noConversion"/>
  </si>
  <si>
    <t>성능상태 
책임보험료</t>
    <phoneticPr fontId="3" type="noConversion"/>
  </si>
  <si>
    <t xml:space="preserve">근거 1) 자동차관리법 제58조의 4에 의해 의무적으로 발생하는 비용                                </t>
    <phoneticPr fontId="3" type="noConversion"/>
  </si>
  <si>
    <t>합        계</t>
    <phoneticPr fontId="3" type="noConversion"/>
  </si>
  <si>
    <t>계좌번호</t>
    <phoneticPr fontId="3" type="noConversion"/>
  </si>
  <si>
    <t>국민은행 : 658101 - 01 - 671081 (예금주 : 카스갤러리)</t>
    <phoneticPr fontId="3" type="noConversion"/>
  </si>
  <si>
    <t>상기 이전비 내역을 고지함</t>
    <phoneticPr fontId="3" type="noConversion"/>
  </si>
  <si>
    <t>20     년           월            일</t>
    <phoneticPr fontId="3" type="noConversion"/>
  </si>
  <si>
    <t>매수인</t>
    <phoneticPr fontId="3" type="noConversion"/>
  </si>
  <si>
    <t xml:space="preserve">                                                (인) </t>
    <phoneticPr fontId="3" type="noConversion"/>
  </si>
  <si>
    <t>▶ 지방세법 제12조(부동산외 취득의 세율) 제1항 제2호, 자동차 관리법시행 규칙 제 122조</t>
    <phoneticPr fontId="3" type="noConversion"/>
  </si>
  <si>
    <t xml:space="preserve">    (매매알선수수료등) 및 공채발행에 관한 지방자치법규 조례에 의합니다.</t>
    <phoneticPr fontId="3" type="noConversion"/>
  </si>
  <si>
    <t>전화번호</t>
    <phoneticPr fontId="3" type="noConversion"/>
  </si>
  <si>
    <t>032 - 266 - 7900</t>
    <phoneticPr fontId="3" type="noConversion"/>
  </si>
  <si>
    <t>팩스번호</t>
    <phoneticPr fontId="3" type="noConversion"/>
  </si>
  <si>
    <t>070 - 7816 - 7900</t>
    <phoneticPr fontId="3" type="noConversion"/>
  </si>
  <si>
    <t>엠파크 허브     (주)카스갤러리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</si>
</sst>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76" fontId="11" fillId="2" borderId="16" xfId="1" applyNumberFormat="1" applyFont="1" applyFill="1" applyBorder="1" applyAlignment="1">
      <alignment horizontal="center" vertical="center"/>
    </xf>
    <xf numFmtId="176" fontId="11" fillId="2" borderId="17" xfId="1" applyNumberFormat="1" applyFont="1" applyFill="1" applyBorder="1" applyAlignment="1">
      <alignment horizontal="center" vertical="center"/>
    </xf>
    <xf numFmtId="176" fontId="11" fillId="2" borderId="18" xfId="1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1" fontId="7" fillId="0" borderId="20" xfId="1" applyFont="1" applyFill="1" applyBorder="1" applyAlignment="1">
      <alignment horizontal="center" vertical="center"/>
    </xf>
    <xf numFmtId="41" fontId="10" fillId="2" borderId="21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1" fontId="7" fillId="0" borderId="9" xfId="1" applyFont="1" applyFill="1" applyBorder="1" applyAlignment="1">
      <alignment horizontal="left" vertical="center"/>
    </xf>
    <xf numFmtId="41" fontId="7" fillId="0" borderId="22" xfId="1" applyFont="1" applyFill="1" applyBorder="1" applyAlignment="1">
      <alignment horizontal="left" vertical="center"/>
    </xf>
    <xf numFmtId="41" fontId="7" fillId="0" borderId="21" xfId="1" applyFont="1" applyFill="1" applyBorder="1" applyAlignment="1">
      <alignment horizontal="left" vertical="center"/>
    </xf>
    <xf numFmtId="41" fontId="7" fillId="0" borderId="23" xfId="1" applyFont="1" applyFill="1" applyBorder="1" applyAlignment="1">
      <alignment horizontal="left" vertical="center"/>
    </xf>
    <xf numFmtId="41" fontId="7" fillId="0" borderId="24" xfId="1" applyFont="1" applyFill="1" applyBorder="1" applyAlignment="1">
      <alignment horizontal="left" vertical="center"/>
    </xf>
    <xf numFmtId="41" fontId="2" fillId="0" borderId="0" xfId="1" applyFont="1" applyFill="1">
      <alignment vertical="center"/>
    </xf>
    <xf numFmtId="0" fontId="12" fillId="0" borderId="19" xfId="0" applyFont="1" applyBorder="1" applyAlignment="1">
      <alignment horizontal="center" vertical="center" wrapText="1"/>
    </xf>
    <xf numFmtId="41" fontId="7" fillId="0" borderId="25" xfId="1" applyFont="1" applyFill="1" applyBorder="1" applyAlignment="1">
      <alignment horizontal="center" vertical="center"/>
    </xf>
    <xf numFmtId="41" fontId="7" fillId="0" borderId="26" xfId="1" applyFont="1" applyFill="1" applyBorder="1" applyAlignment="1">
      <alignment horizontal="center" vertical="center"/>
    </xf>
    <xf numFmtId="41" fontId="13" fillId="0" borderId="21" xfId="1" applyFont="1" applyFill="1" applyBorder="1" applyAlignment="1">
      <alignment horizontal="left" vertical="center" wrapText="1"/>
    </xf>
    <xf numFmtId="41" fontId="13" fillId="0" borderId="23" xfId="1" applyFont="1" applyFill="1" applyBorder="1" applyAlignment="1">
      <alignment horizontal="left" vertical="center" wrapText="1"/>
    </xf>
    <xf numFmtId="41" fontId="13" fillId="0" borderId="24" xfId="1" applyFont="1" applyFill="1" applyBorder="1" applyAlignment="1">
      <alignment horizontal="left" vertical="center" wrapText="1"/>
    </xf>
    <xf numFmtId="41" fontId="7" fillId="0" borderId="27" xfId="1" applyFont="1" applyFill="1" applyBorder="1" applyAlignment="1">
      <alignment horizontal="center" vertical="center"/>
    </xf>
    <xf numFmtId="41" fontId="7" fillId="0" borderId="28" xfId="1" applyFont="1" applyFill="1" applyBorder="1" applyAlignment="1">
      <alignment horizontal="center" vertical="center"/>
    </xf>
    <xf numFmtId="41" fontId="13" fillId="0" borderId="21" xfId="1" applyFont="1" applyFill="1" applyBorder="1" applyAlignment="1">
      <alignment horizontal="center" vertical="center" wrapText="1"/>
    </xf>
    <xf numFmtId="41" fontId="13" fillId="0" borderId="23" xfId="1" applyFont="1" applyFill="1" applyBorder="1" applyAlignment="1">
      <alignment horizontal="center" vertical="center" wrapText="1"/>
    </xf>
    <xf numFmtId="41" fontId="13" fillId="0" borderId="24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41" fontId="13" fillId="0" borderId="25" xfId="1" applyFont="1" applyFill="1" applyBorder="1" applyAlignment="1">
      <alignment horizontal="left" vertical="center" wrapText="1"/>
    </xf>
    <xf numFmtId="41" fontId="13" fillId="0" borderId="29" xfId="1" applyFont="1" applyFill="1" applyBorder="1" applyAlignment="1">
      <alignment horizontal="left" vertical="center" wrapText="1"/>
    </xf>
    <xf numFmtId="41" fontId="13" fillId="0" borderId="30" xfId="1" applyFont="1" applyFill="1" applyBorder="1" applyAlignment="1">
      <alignment horizontal="left" vertical="center" wrapText="1"/>
    </xf>
    <xf numFmtId="41" fontId="13" fillId="0" borderId="31" xfId="1" applyFont="1" applyFill="1" applyBorder="1" applyAlignment="1">
      <alignment horizontal="left" vertical="center" wrapText="1"/>
    </xf>
    <xf numFmtId="41" fontId="13" fillId="0" borderId="32" xfId="1" applyFont="1" applyFill="1" applyBorder="1" applyAlignment="1">
      <alignment horizontal="left" vertical="center" wrapText="1"/>
    </xf>
    <xf numFmtId="41" fontId="13" fillId="0" borderId="33" xfId="1" applyFont="1" applyFill="1" applyBorder="1" applyAlignment="1">
      <alignment horizontal="left" vertical="center" wrapText="1"/>
    </xf>
    <xf numFmtId="41" fontId="7" fillId="0" borderId="31" xfId="1" applyFont="1" applyFill="1" applyBorder="1" applyAlignment="1">
      <alignment horizontal="center" vertical="center"/>
    </xf>
    <xf numFmtId="41" fontId="7" fillId="0" borderId="34" xfId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41" fontId="7" fillId="2" borderId="21" xfId="1" applyFont="1" applyFill="1" applyBorder="1" applyAlignment="1">
      <alignment horizontal="center" vertical="center"/>
    </xf>
    <xf numFmtId="41" fontId="7" fillId="2" borderId="35" xfId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41" fontId="7" fillId="2" borderId="20" xfId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41" fontId="7" fillId="2" borderId="11" xfId="1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41" fontId="6" fillId="0" borderId="37" xfId="1" applyFont="1" applyFill="1" applyBorder="1" applyAlignment="1">
      <alignment horizontal="center" vertical="center"/>
    </xf>
    <xf numFmtId="41" fontId="6" fillId="0" borderId="38" xfId="1" applyFont="1" applyFill="1" applyBorder="1" applyAlignment="1">
      <alignment horizontal="center" vertical="center"/>
    </xf>
    <xf numFmtId="41" fontId="7" fillId="0" borderId="37" xfId="1" applyFont="1" applyFill="1" applyBorder="1" applyAlignment="1">
      <alignment horizontal="center" vertical="center"/>
    </xf>
    <xf numFmtId="41" fontId="7" fillId="0" borderId="39" xfId="1" applyFont="1" applyFill="1" applyBorder="1" applyAlignment="1">
      <alignment horizontal="center" vertical="center"/>
    </xf>
    <xf numFmtId="41" fontId="7" fillId="0" borderId="40" xfId="1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41" fontId="6" fillId="0" borderId="42" xfId="1" applyFont="1" applyFill="1" applyBorder="1" applyAlignment="1">
      <alignment horizontal="center" vertical="center"/>
    </xf>
    <xf numFmtId="41" fontId="6" fillId="0" borderId="43" xfId="1" applyFont="1" applyFill="1" applyBorder="1" applyAlignment="1">
      <alignment horizontal="center" vertical="center"/>
    </xf>
    <xf numFmtId="41" fontId="7" fillId="0" borderId="42" xfId="1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41" fontId="6" fillId="4" borderId="17" xfId="1" applyFont="1" applyFill="1" applyBorder="1" applyAlignment="1">
      <alignment horizontal="center" vertical="center"/>
    </xf>
    <xf numFmtId="41" fontId="6" fillId="4" borderId="18" xfId="1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8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AB94-77FB-459E-B092-D6746C74AC73}">
  <dimension ref="B1:K26"/>
  <sheetViews>
    <sheetView tabSelected="1" workbookViewId="0">
      <selection activeCell="E11" sqref="E11:H12"/>
    </sheetView>
  </sheetViews>
  <sheetFormatPr defaultRowHeight="19.5" x14ac:dyDescent="0.3"/>
  <cols>
    <col min="1" max="1" width="3.25" style="1" customWidth="1"/>
    <col min="2" max="2" width="13.625" style="1" customWidth="1"/>
    <col min="3" max="3" width="12.625" style="1" customWidth="1"/>
    <col min="4" max="4" width="12.75" style="1" customWidth="1"/>
    <col min="5" max="5" width="12.625" style="1" customWidth="1"/>
    <col min="6" max="6" width="12.75" style="1" customWidth="1"/>
    <col min="7" max="7" width="12.625" style="1" customWidth="1"/>
    <col min="8" max="8" width="12.75" style="1" customWidth="1"/>
    <col min="9" max="16384" width="9" style="1"/>
  </cols>
  <sheetData>
    <row r="1" spans="2:11" ht="20.25" thickBot="1" x14ac:dyDescent="0.35"/>
    <row r="2" spans="2:11" ht="24.75" customHeight="1" x14ac:dyDescent="0.3">
      <c r="B2" s="2" t="s">
        <v>0</v>
      </c>
      <c r="C2" s="3"/>
      <c r="D2" s="3"/>
      <c r="E2" s="3"/>
      <c r="F2" s="3"/>
      <c r="G2" s="3"/>
      <c r="H2" s="4"/>
    </row>
    <row r="3" spans="2:11" ht="16.5" customHeight="1" x14ac:dyDescent="0.3">
      <c r="B3" s="5"/>
      <c r="C3" s="6"/>
      <c r="D3" s="6"/>
      <c r="E3" s="6"/>
      <c r="F3" s="6"/>
      <c r="G3" s="6"/>
      <c r="H3" s="7"/>
    </row>
    <row r="4" spans="2:11" ht="32.25" customHeight="1" x14ac:dyDescent="0.3">
      <c r="B4" s="8" t="s">
        <v>1</v>
      </c>
      <c r="C4" s="9" t="s">
        <v>2</v>
      </c>
      <c r="D4" s="10"/>
      <c r="E4" s="10"/>
      <c r="F4" s="11"/>
      <c r="G4" s="12" t="s">
        <v>3</v>
      </c>
      <c r="H4" s="13">
        <v>2022</v>
      </c>
    </row>
    <row r="5" spans="2:11" ht="32.25" hidden="1" customHeight="1" x14ac:dyDescent="0.3">
      <c r="B5" s="14" t="s">
        <v>4</v>
      </c>
      <c r="C5" s="15" t="s">
        <v>5</v>
      </c>
      <c r="D5" s="15"/>
      <c r="E5" s="15"/>
      <c r="F5" s="12" t="s">
        <v>3</v>
      </c>
      <c r="G5" s="16">
        <v>2022</v>
      </c>
      <c r="H5" s="17"/>
    </row>
    <row r="6" spans="2:11" ht="38.25" customHeight="1" x14ac:dyDescent="0.3">
      <c r="B6" s="18" t="s">
        <v>6</v>
      </c>
      <c r="C6" s="19">
        <v>20000000</v>
      </c>
      <c r="D6" s="20"/>
      <c r="E6" s="20"/>
      <c r="F6" s="20"/>
      <c r="G6" s="20"/>
      <c r="H6" s="21"/>
    </row>
    <row r="7" spans="2:11" ht="28.5" customHeight="1" x14ac:dyDescent="0.3">
      <c r="B7" s="22" t="s">
        <v>7</v>
      </c>
      <c r="C7" s="23">
        <f>IF(E7=TRUE,MAX(0,C6*7%-1400000),C6*7%)</f>
        <v>1400000.0000000002</v>
      </c>
      <c r="D7" s="23">
        <f>D6*7%</f>
        <v>0</v>
      </c>
      <c r="E7" s="24" t="b">
        <v>0</v>
      </c>
      <c r="F7" s="25" t="s">
        <v>8</v>
      </c>
      <c r="G7" s="25"/>
      <c r="H7" s="26"/>
    </row>
    <row r="8" spans="2:11" ht="28.5" customHeight="1" x14ac:dyDescent="0.3">
      <c r="B8" s="22" t="s">
        <v>9</v>
      </c>
      <c r="C8" s="23">
        <f>C6*0.5%</f>
        <v>100000</v>
      </c>
      <c r="D8" s="23"/>
      <c r="E8" s="27" t="s">
        <v>10</v>
      </c>
      <c r="F8" s="28"/>
      <c r="G8" s="28"/>
      <c r="H8" s="29"/>
      <c r="K8" s="30"/>
    </row>
    <row r="9" spans="2:11" ht="50.25" customHeight="1" x14ac:dyDescent="0.3">
      <c r="B9" s="31" t="s">
        <v>11</v>
      </c>
      <c r="C9" s="32">
        <v>450000</v>
      </c>
      <c r="D9" s="33"/>
      <c r="E9" s="34" t="s">
        <v>12</v>
      </c>
      <c r="F9" s="35"/>
      <c r="G9" s="35"/>
      <c r="H9" s="36"/>
    </row>
    <row r="10" spans="2:11" ht="33.75" customHeight="1" x14ac:dyDescent="0.3">
      <c r="B10" s="31" t="s">
        <v>13</v>
      </c>
      <c r="C10" s="37"/>
      <c r="D10" s="38"/>
      <c r="E10" s="39"/>
      <c r="F10" s="40"/>
      <c r="G10" s="40"/>
      <c r="H10" s="41"/>
    </row>
    <row r="11" spans="2:11" ht="34.5" customHeight="1" x14ac:dyDescent="0.3">
      <c r="B11" s="42" t="s">
        <v>14</v>
      </c>
      <c r="C11" s="37"/>
      <c r="D11" s="38"/>
      <c r="E11" s="43" t="s">
        <v>15</v>
      </c>
      <c r="F11" s="44"/>
      <c r="G11" s="44"/>
      <c r="H11" s="45"/>
    </row>
    <row r="12" spans="2:11" ht="34.5" customHeight="1" x14ac:dyDescent="0.3">
      <c r="B12" s="42"/>
      <c r="C12" s="37"/>
      <c r="D12" s="38"/>
      <c r="E12" s="46"/>
      <c r="F12" s="47"/>
      <c r="G12" s="47"/>
      <c r="H12" s="48"/>
    </row>
    <row r="13" spans="2:11" ht="32.25" customHeight="1" x14ac:dyDescent="0.3">
      <c r="B13" s="22" t="s">
        <v>16</v>
      </c>
      <c r="C13" s="49"/>
      <c r="D13" s="50"/>
      <c r="E13" s="39"/>
      <c r="F13" s="40"/>
      <c r="G13" s="40"/>
      <c r="H13" s="41"/>
    </row>
    <row r="14" spans="2:11" ht="32.25" customHeight="1" x14ac:dyDescent="0.3">
      <c r="B14" s="51" t="s">
        <v>17</v>
      </c>
      <c r="C14" s="52">
        <v>100000</v>
      </c>
      <c r="D14" s="53"/>
      <c r="E14" s="34"/>
      <c r="F14" s="35"/>
      <c r="G14" s="35"/>
      <c r="H14" s="36"/>
    </row>
    <row r="15" spans="2:11" ht="36.75" customHeight="1" x14ac:dyDescent="0.3">
      <c r="B15" s="54" t="s">
        <v>18</v>
      </c>
      <c r="C15" s="55">
        <v>300000</v>
      </c>
      <c r="D15" s="55"/>
      <c r="E15" s="34" t="s">
        <v>19</v>
      </c>
      <c r="F15" s="35"/>
      <c r="G15" s="35"/>
      <c r="H15" s="36"/>
    </row>
    <row r="16" spans="2:11" ht="36.75" customHeight="1" x14ac:dyDescent="0.3">
      <c r="B16" s="56" t="s">
        <v>20</v>
      </c>
      <c r="C16" s="57">
        <v>100000</v>
      </c>
      <c r="D16" s="57"/>
      <c r="E16" s="34" t="s">
        <v>21</v>
      </c>
      <c r="F16" s="35"/>
      <c r="G16" s="35"/>
      <c r="H16" s="36"/>
    </row>
    <row r="17" spans="2:8" ht="21.75" customHeight="1" x14ac:dyDescent="0.3">
      <c r="B17" s="58" t="s">
        <v>22</v>
      </c>
      <c r="C17" s="59">
        <f>SUM(C7:D16)</f>
        <v>2450000</v>
      </c>
      <c r="D17" s="60"/>
      <c r="E17" s="61"/>
      <c r="F17" s="62"/>
      <c r="G17" s="62"/>
      <c r="H17" s="63"/>
    </row>
    <row r="18" spans="2:8" ht="18.75" customHeight="1" x14ac:dyDescent="0.3">
      <c r="B18" s="64"/>
      <c r="C18" s="65"/>
      <c r="D18" s="66"/>
      <c r="E18" s="67"/>
      <c r="F18" s="68"/>
      <c r="G18" s="68"/>
      <c r="H18" s="69"/>
    </row>
    <row r="19" spans="2:8" ht="42.75" customHeight="1" x14ac:dyDescent="0.3">
      <c r="B19" s="70" t="s">
        <v>23</v>
      </c>
      <c r="C19" s="71" t="s">
        <v>24</v>
      </c>
      <c r="D19" s="71"/>
      <c r="E19" s="71"/>
      <c r="F19" s="71"/>
      <c r="G19" s="71"/>
      <c r="H19" s="72"/>
    </row>
    <row r="20" spans="2:8" ht="23.25" hidden="1" customHeight="1" x14ac:dyDescent="0.3">
      <c r="B20" s="73" t="s">
        <v>25</v>
      </c>
      <c r="C20" s="74"/>
      <c r="D20" s="74"/>
      <c r="E20" s="74"/>
      <c r="F20" s="74"/>
      <c r="G20" s="74"/>
      <c r="H20" s="75"/>
    </row>
    <row r="21" spans="2:8" ht="23.25" hidden="1" customHeight="1" x14ac:dyDescent="0.3">
      <c r="B21" s="76" t="s">
        <v>26</v>
      </c>
      <c r="C21" s="77"/>
      <c r="D21" s="77"/>
      <c r="E21" s="77"/>
      <c r="F21" s="77"/>
      <c r="G21" s="77"/>
      <c r="H21" s="78"/>
    </row>
    <row r="22" spans="2:8" ht="23.25" hidden="1" customHeight="1" x14ac:dyDescent="0.3">
      <c r="B22" s="79" t="s">
        <v>27</v>
      </c>
      <c r="C22" s="80" t="s">
        <v>28</v>
      </c>
      <c r="D22" s="81"/>
      <c r="E22" s="81"/>
      <c r="F22" s="81"/>
      <c r="G22" s="81"/>
      <c r="H22" s="82"/>
    </row>
    <row r="23" spans="2:8" ht="23.25" customHeight="1" x14ac:dyDescent="0.3">
      <c r="B23" s="83" t="s">
        <v>29</v>
      </c>
      <c r="C23" s="84"/>
      <c r="D23" s="84"/>
      <c r="E23" s="84"/>
      <c r="F23" s="84"/>
      <c r="G23" s="84"/>
      <c r="H23" s="85"/>
    </row>
    <row r="24" spans="2:8" ht="23.25" customHeight="1" x14ac:dyDescent="0.3">
      <c r="B24" s="83" t="s">
        <v>30</v>
      </c>
      <c r="C24" s="84"/>
      <c r="D24" s="84"/>
      <c r="E24" s="84"/>
      <c r="F24" s="84"/>
      <c r="G24" s="84"/>
      <c r="H24" s="85"/>
    </row>
    <row r="25" spans="2:8" ht="23.25" customHeight="1" x14ac:dyDescent="0.3">
      <c r="B25" s="86" t="s">
        <v>31</v>
      </c>
      <c r="C25" s="87" t="s">
        <v>32</v>
      </c>
      <c r="D25" s="88"/>
      <c r="E25" s="89"/>
      <c r="F25" s="90" t="s">
        <v>33</v>
      </c>
      <c r="G25" s="91" t="s">
        <v>34</v>
      </c>
      <c r="H25" s="92"/>
    </row>
    <row r="26" spans="2:8" ht="30.75" customHeight="1" thickBot="1" x14ac:dyDescent="0.35">
      <c r="B26" s="93" t="s">
        <v>35</v>
      </c>
      <c r="C26" s="94"/>
      <c r="D26" s="94"/>
      <c r="E26" s="94"/>
      <c r="F26" s="94"/>
      <c r="G26" s="94"/>
      <c r="H26" s="95"/>
    </row>
  </sheetData>
  <mergeCells count="33">
    <mergeCell ref="C22:H22"/>
    <mergeCell ref="B23:H23"/>
    <mergeCell ref="B24:H24"/>
    <mergeCell ref="C25:E25"/>
    <mergeCell ref="G25:H25"/>
    <mergeCell ref="B26:H26"/>
    <mergeCell ref="B17:B18"/>
    <mergeCell ref="C17:D18"/>
    <mergeCell ref="E17:H18"/>
    <mergeCell ref="C19:H19"/>
    <mergeCell ref="B20:H20"/>
    <mergeCell ref="B21:H21"/>
    <mergeCell ref="C14:D14"/>
    <mergeCell ref="E14:H14"/>
    <mergeCell ref="C15:D15"/>
    <mergeCell ref="E15:H15"/>
    <mergeCell ref="C16:D16"/>
    <mergeCell ref="E16:H16"/>
    <mergeCell ref="C8:D8"/>
    <mergeCell ref="E8:H8"/>
    <mergeCell ref="C9:D13"/>
    <mergeCell ref="E9:H9"/>
    <mergeCell ref="E10:H10"/>
    <mergeCell ref="B11:B12"/>
    <mergeCell ref="E11:H12"/>
    <mergeCell ref="E13:H13"/>
    <mergeCell ref="B2:H3"/>
    <mergeCell ref="C4:F4"/>
    <mergeCell ref="C5:E5"/>
    <mergeCell ref="G5:H5"/>
    <mergeCell ref="C6:H6"/>
    <mergeCell ref="C7:D7"/>
    <mergeCell ref="F7:H7"/>
  </mergeCells>
  <phoneticPr fontId="3" type="noConversion"/>
  <pageMargins left="0.35" right="0.19" top="0.57999999999999996" bottom="0.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 Naver Chang</dc:creator>
  <cp:lastModifiedBy>WH Naver Chang</cp:lastModifiedBy>
  <dcterms:created xsi:type="dcterms:W3CDTF">2026-04-28T13:48:15Z</dcterms:created>
  <dcterms:modified xsi:type="dcterms:W3CDTF">2026-04-28T15:55:20Z</dcterms:modified>
</cp:coreProperties>
</file>